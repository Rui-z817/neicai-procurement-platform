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<sst xmlns="http://schemas.openxmlformats.org/spreadsheetml/2006/main" count="156" uniqueCount="63">
  <si>
    <t>序号</t>
  </si>
  <si>
    <t>名 称</t>
  </si>
  <si>
    <t>型 号 及 规 格</t>
  </si>
  <si>
    <t>单位</t>
  </si>
  <si>
    <t>数量</t>
  </si>
  <si>
    <t>含税单价</t>
  </si>
  <si>
    <t>含税金额</t>
  </si>
  <si>
    <t>备 注</t>
  </si>
  <si>
    <t>钢丝网骨架复合管</t>
  </si>
  <si>
    <t>DN200 PN1.6</t>
  </si>
  <si>
    <t>米</t>
  </si>
  <si>
    <t>单根长度为9米</t>
  </si>
  <si>
    <t>DN160 PN1.6</t>
  </si>
  <si>
    <t>DN160 PN2.0</t>
  </si>
  <si>
    <t>DN110 PN1.6</t>
  </si>
  <si>
    <t>电熔直接（管箍）</t>
  </si>
  <si>
    <t>DN200（II）   PN1.6</t>
  </si>
  <si>
    <t>个</t>
  </si>
  <si>
    <t>DN160（II）  PN1.6</t>
  </si>
  <si>
    <t>DN160   PN2.0</t>
  </si>
  <si>
    <t>DN110 （II） PN1.6</t>
  </si>
  <si>
    <t xml:space="preserve">电熔等径三通 </t>
  </si>
  <si>
    <t>DN200   PN1.6</t>
  </si>
  <si>
    <t>DN160   PN1.6</t>
  </si>
  <si>
    <t>电熔异径三通</t>
  </si>
  <si>
    <t>DN200*160  PN1.6</t>
  </si>
  <si>
    <t>DN160*110（II）  PN1.6</t>
  </si>
  <si>
    <t>DN160*110  PN2.0</t>
  </si>
  <si>
    <t>DN200*110  PN1.6</t>
  </si>
  <si>
    <t>电熔90度弯头</t>
  </si>
  <si>
    <t>DN200（II） PN1.6</t>
  </si>
  <si>
    <t>DN160 (II) PN1.6</t>
  </si>
  <si>
    <t>DN110（II） PN1.6</t>
  </si>
  <si>
    <t>电熔45度弯头</t>
  </si>
  <si>
    <t>电熔异径四通</t>
  </si>
  <si>
    <t>DN200×100 PN1.6</t>
  </si>
  <si>
    <t>DN200 是主管（直通）口径，DN100 是支管（侧口）口径</t>
  </si>
  <si>
    <t>电熔异径直接</t>
  </si>
  <si>
    <t>DN200×110 PN1.6</t>
  </si>
  <si>
    <t>DN200×160 PN1.6</t>
  </si>
  <si>
    <t>DN160×110 PN1.6</t>
  </si>
  <si>
    <t>DN160×110 PN2.0</t>
  </si>
  <si>
    <t>电熔法兰头</t>
  </si>
  <si>
    <t>DN110   PN1.6</t>
  </si>
  <si>
    <t>活套钢法兰</t>
  </si>
  <si>
    <t>片</t>
  </si>
  <si>
    <t>橡胶垫片</t>
  </si>
  <si>
    <t>DN200</t>
  </si>
  <si>
    <t>加厚款质量好的</t>
  </si>
  <si>
    <t>DN150</t>
  </si>
  <si>
    <t>DN100</t>
  </si>
  <si>
    <t>螺栓螺母组</t>
  </si>
  <si>
    <t>M20×110</t>
  </si>
  <si>
    <t>套</t>
  </si>
  <si>
    <t>镀锌</t>
  </si>
  <si>
    <t>M16×90</t>
  </si>
  <si>
    <t xml:space="preserve">电熔管帽 </t>
  </si>
  <si>
    <t xml:space="preserve">DN200   PN1.6 </t>
  </si>
  <si>
    <t xml:space="preserve">DN150   PN1.6 </t>
  </si>
  <si>
    <t xml:space="preserve">DN100   PN1.6 </t>
  </si>
  <si>
    <t>DN150   PN2.0</t>
  </si>
  <si>
    <t>盲板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</si>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</sst>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topLeftCell="A25" workbookViewId="0">
      <selection activeCell="I34" sqref="I34"/>
    </sheetView>
  </sheetViews>
  <sheetFormatPr defaultColWidth="9" defaultRowHeight="13.5" outlineLevelCol="7"/>
  <cols>
    <col min="1" max="1" width="5.90833333333333" style="2" customWidth="1"/>
    <col min="2" max="2" width="20.625" style="2" customWidth="1"/>
    <col min="3" max="3" width="24.275" style="2" customWidth="1"/>
    <col min="4" max="4" width="8.45833333333333" style="2" customWidth="1"/>
    <col min="5" max="5" width="9" style="2" customWidth="1"/>
    <col min="6" max="6" width="10.4583333333333" style="2" customWidth="1"/>
    <col min="7" max="7" width="12.6333333333333" style="2" customWidth="1"/>
    <col min="8" max="8" width="16.5416666666667" style="2" customWidth="1"/>
    <col min="9" max="16384" width="9" style="1"/>
  </cols>
  <sheetData>
    <row r="1" s="1" customFormat="1" ht="2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20" customHeight="1" spans="1:8">
      <c r="A2" s="3">
        <v>1</v>
      </c>
      <c r="B2" s="3" t="s">
        <v>8</v>
      </c>
      <c r="C2" s="3" t="s">
        <v>9</v>
      </c>
      <c r="D2" s="3" t="s">
        <v>10</v>
      </c>
      <c r="E2" s="3">
        <v>2250</v>
      </c>
      <c r="F2" s="4">
        <v>105.428</v>
      </c>
      <c r="G2" s="5">
        <f>F2*E2</f>
        <v>237213</v>
      </c>
      <c r="H2" s="3" t="s">
        <v>11</v>
      </c>
    </row>
    <row r="3" s="1" customFormat="1" ht="20" customHeight="1" spans="1:8">
      <c r="A3" s="3">
        <v>2</v>
      </c>
      <c r="B3" s="3" t="s">
        <v>8</v>
      </c>
      <c r="C3" s="3" t="s">
        <v>12</v>
      </c>
      <c r="D3" s="3" t="s">
        <v>10</v>
      </c>
      <c r="E3" s="3">
        <v>540</v>
      </c>
      <c r="F3" s="4">
        <v>76.94</v>
      </c>
      <c r="G3" s="5">
        <f t="shared" ref="G3:G47" si="0">F3*E3</f>
        <v>41547.6</v>
      </c>
      <c r="H3" s="3" t="s">
        <v>11</v>
      </c>
    </row>
    <row r="4" s="1" customFormat="1" ht="20" customHeight="1" spans="1:8">
      <c r="A4" s="3">
        <v>3</v>
      </c>
      <c r="B4" s="3" t="s">
        <v>8</v>
      </c>
      <c r="C4" s="3" t="s">
        <v>13</v>
      </c>
      <c r="D4" s="3" t="s">
        <v>10</v>
      </c>
      <c r="E4" s="3">
        <v>540</v>
      </c>
      <c r="F4" s="4">
        <v>93.3356</v>
      </c>
      <c r="G4" s="5">
        <f t="shared" si="0"/>
        <v>50401.224</v>
      </c>
      <c r="H4" s="3" t="s">
        <v>11</v>
      </c>
    </row>
    <row r="5" s="1" customFormat="1" ht="20" customHeight="1" spans="1:8">
      <c r="A5" s="3">
        <v>4</v>
      </c>
      <c r="B5" s="3" t="s">
        <v>8</v>
      </c>
      <c r="C5" s="3" t="s">
        <v>14</v>
      </c>
      <c r="D5" s="3" t="s">
        <v>10</v>
      </c>
      <c r="E5" s="3">
        <v>90</v>
      </c>
      <c r="F5" s="4">
        <v>44.152</v>
      </c>
      <c r="G5" s="5">
        <f t="shared" si="0"/>
        <v>3973.68</v>
      </c>
      <c r="H5" s="3"/>
    </row>
    <row r="6" s="1" customFormat="1" ht="20" customHeight="1" spans="1:8">
      <c r="A6" s="3">
        <v>5</v>
      </c>
      <c r="B6" s="3" t="s">
        <v>15</v>
      </c>
      <c r="C6" s="3" t="s">
        <v>16</v>
      </c>
      <c r="D6" s="3" t="s">
        <v>17</v>
      </c>
      <c r="E6" s="3">
        <v>200</v>
      </c>
      <c r="F6" s="4">
        <v>107.012</v>
      </c>
      <c r="G6" s="5">
        <f t="shared" si="0"/>
        <v>21402.4</v>
      </c>
      <c r="H6" s="3"/>
    </row>
    <row r="7" s="1" customFormat="1" ht="20" customHeight="1" spans="1:8">
      <c r="A7" s="3">
        <v>6</v>
      </c>
      <c r="B7" s="3" t="s">
        <v>15</v>
      </c>
      <c r="C7" s="3" t="s">
        <v>18</v>
      </c>
      <c r="D7" s="3" t="s">
        <v>17</v>
      </c>
      <c r="E7" s="3">
        <v>60</v>
      </c>
      <c r="F7" s="4">
        <v>47.12</v>
      </c>
      <c r="G7" s="5">
        <f t="shared" si="0"/>
        <v>2827.2</v>
      </c>
      <c r="H7" s="3"/>
    </row>
    <row r="8" s="1" customFormat="1" ht="20" customHeight="1" spans="1:8">
      <c r="A8" s="3">
        <v>7</v>
      </c>
      <c r="B8" s="3" t="s">
        <v>15</v>
      </c>
      <c r="C8" s="3" t="s">
        <v>19</v>
      </c>
      <c r="D8" s="3" t="s">
        <v>17</v>
      </c>
      <c r="E8" s="3">
        <v>60</v>
      </c>
      <c r="F8" s="4">
        <v>52.356</v>
      </c>
      <c r="G8" s="5">
        <f t="shared" si="0"/>
        <v>3141.36</v>
      </c>
      <c r="H8" s="3"/>
    </row>
    <row r="9" s="1" customFormat="1" ht="20" customHeight="1" spans="1:8">
      <c r="A9" s="3">
        <v>8</v>
      </c>
      <c r="B9" s="6" t="s">
        <v>15</v>
      </c>
      <c r="C9" s="6" t="s">
        <v>20</v>
      </c>
      <c r="D9" s="6" t="s">
        <v>17</v>
      </c>
      <c r="E9" s="3">
        <v>10</v>
      </c>
      <c r="F9" s="4">
        <v>25.928</v>
      </c>
      <c r="G9" s="5">
        <f t="shared" si="0"/>
        <v>259.28</v>
      </c>
      <c r="H9" s="3"/>
    </row>
    <row r="10" s="1" customFormat="1" ht="20" customHeight="1" spans="1:8">
      <c r="A10" s="3">
        <v>9</v>
      </c>
      <c r="B10" s="3" t="s">
        <v>21</v>
      </c>
      <c r="C10" s="3" t="s">
        <v>22</v>
      </c>
      <c r="D10" s="3" t="s">
        <v>17</v>
      </c>
      <c r="E10" s="3">
        <v>15</v>
      </c>
      <c r="F10" s="4">
        <v>245.032</v>
      </c>
      <c r="G10" s="5">
        <f t="shared" si="0"/>
        <v>3675.48</v>
      </c>
      <c r="H10" s="3"/>
    </row>
    <row r="11" s="1" customFormat="1" ht="20" customHeight="1" spans="1:8">
      <c r="A11" s="3">
        <v>10</v>
      </c>
      <c r="B11" s="3" t="s">
        <v>21</v>
      </c>
      <c r="C11" s="3" t="s">
        <v>23</v>
      </c>
      <c r="D11" s="3" t="s">
        <v>17</v>
      </c>
      <c r="E11" s="3">
        <v>5</v>
      </c>
      <c r="F11" s="4">
        <v>120.96</v>
      </c>
      <c r="G11" s="5">
        <f t="shared" si="0"/>
        <v>604.8</v>
      </c>
      <c r="H11" s="3"/>
    </row>
    <row r="12" s="1" customFormat="1" ht="20" customHeight="1" spans="1:8">
      <c r="A12" s="3">
        <v>11</v>
      </c>
      <c r="B12" s="3" t="s">
        <v>21</v>
      </c>
      <c r="C12" s="3" t="s">
        <v>19</v>
      </c>
      <c r="D12" s="3" t="s">
        <v>17</v>
      </c>
      <c r="E12" s="3">
        <v>5</v>
      </c>
      <c r="F12" s="4">
        <v>133.056</v>
      </c>
      <c r="G12" s="5">
        <f t="shared" si="0"/>
        <v>665.28</v>
      </c>
      <c r="H12" s="3"/>
    </row>
    <row r="13" s="1" customFormat="1" ht="20" customHeight="1" spans="1:8">
      <c r="A13" s="3">
        <v>12</v>
      </c>
      <c r="B13" s="3" t="s">
        <v>24</v>
      </c>
      <c r="C13" s="3" t="s">
        <v>25</v>
      </c>
      <c r="D13" s="3" t="s">
        <v>17</v>
      </c>
      <c r="E13" s="3">
        <v>5</v>
      </c>
      <c r="F13" s="4">
        <v>225.84</v>
      </c>
      <c r="G13" s="5">
        <f t="shared" si="0"/>
        <v>1129.2</v>
      </c>
      <c r="H13" s="3"/>
    </row>
    <row r="14" s="1" customFormat="1" ht="20" customHeight="1" spans="1:8">
      <c r="A14" s="3">
        <v>13</v>
      </c>
      <c r="B14" s="3" t="s">
        <v>24</v>
      </c>
      <c r="C14" s="3" t="s">
        <v>26</v>
      </c>
      <c r="D14" s="3" t="s">
        <v>17</v>
      </c>
      <c r="E14" s="3">
        <v>5</v>
      </c>
      <c r="F14" s="4">
        <v>105.004</v>
      </c>
      <c r="G14" s="5">
        <f t="shared" si="0"/>
        <v>525.02</v>
      </c>
      <c r="H14" s="3"/>
    </row>
    <row r="15" s="1" customFormat="1" ht="20" customHeight="1" spans="1:8">
      <c r="A15" s="3">
        <v>14</v>
      </c>
      <c r="B15" s="3" t="s">
        <v>24</v>
      </c>
      <c r="C15" s="3" t="s">
        <v>27</v>
      </c>
      <c r="D15" s="3" t="s">
        <v>17</v>
      </c>
      <c r="E15" s="3">
        <v>5</v>
      </c>
      <c r="F15" s="4">
        <v>106.704</v>
      </c>
      <c r="G15" s="5">
        <f t="shared" si="0"/>
        <v>533.52</v>
      </c>
      <c r="H15" s="3"/>
    </row>
    <row r="16" s="1" customFormat="1" ht="20" customHeight="1" spans="1:8">
      <c r="A16" s="3">
        <v>15</v>
      </c>
      <c r="B16" s="3" t="s">
        <v>24</v>
      </c>
      <c r="C16" s="3" t="s">
        <v>28</v>
      </c>
      <c r="D16" s="3" t="s">
        <v>17</v>
      </c>
      <c r="E16" s="3">
        <v>60</v>
      </c>
      <c r="F16" s="7">
        <v>180.768</v>
      </c>
      <c r="G16" s="5">
        <f t="shared" si="0"/>
        <v>10846.08</v>
      </c>
      <c r="H16" s="3"/>
    </row>
    <row r="17" s="1" customFormat="1" ht="20" customHeight="1" spans="1:8">
      <c r="A17" s="3">
        <v>16</v>
      </c>
      <c r="B17" s="3" t="s">
        <v>29</v>
      </c>
      <c r="C17" s="3" t="s">
        <v>30</v>
      </c>
      <c r="D17" s="3" t="s">
        <v>17</v>
      </c>
      <c r="E17" s="3">
        <v>80</v>
      </c>
      <c r="F17" s="4">
        <v>188.164</v>
      </c>
      <c r="G17" s="5">
        <f t="shared" si="0"/>
        <v>15053.12</v>
      </c>
      <c r="H17" s="3"/>
    </row>
    <row r="18" s="1" customFormat="1" ht="20" customHeight="1" spans="1:8">
      <c r="A18" s="3">
        <v>17</v>
      </c>
      <c r="B18" s="3" t="s">
        <v>29</v>
      </c>
      <c r="C18" s="6" t="s">
        <v>31</v>
      </c>
      <c r="D18" s="3" t="s">
        <v>17</v>
      </c>
      <c r="E18" s="3">
        <v>40</v>
      </c>
      <c r="F18" s="4">
        <v>88.248</v>
      </c>
      <c r="G18" s="5">
        <f t="shared" si="0"/>
        <v>3529.92</v>
      </c>
      <c r="H18" s="3"/>
    </row>
    <row r="19" s="1" customFormat="1" ht="20" customHeight="1" spans="1:8">
      <c r="A19" s="3">
        <v>18</v>
      </c>
      <c r="B19" s="3" t="s">
        <v>29</v>
      </c>
      <c r="C19" s="3" t="s">
        <v>13</v>
      </c>
      <c r="D19" s="3" t="s">
        <v>17</v>
      </c>
      <c r="E19" s="3">
        <v>40</v>
      </c>
      <c r="F19" s="4">
        <v>92.892</v>
      </c>
      <c r="G19" s="5">
        <f t="shared" si="0"/>
        <v>3715.68</v>
      </c>
      <c r="H19" s="3"/>
    </row>
    <row r="20" s="1" customFormat="1" ht="20" customHeight="1" spans="1:8">
      <c r="A20" s="3">
        <v>19</v>
      </c>
      <c r="B20" s="6" t="s">
        <v>29</v>
      </c>
      <c r="C20" s="6" t="s">
        <v>32</v>
      </c>
      <c r="D20" s="6" t="s">
        <v>17</v>
      </c>
      <c r="E20" s="3">
        <v>40</v>
      </c>
      <c r="F20" s="4">
        <v>36.94</v>
      </c>
      <c r="G20" s="5">
        <f t="shared" si="0"/>
        <v>1477.6</v>
      </c>
      <c r="H20" s="3"/>
    </row>
    <row r="21" s="1" customFormat="1" ht="20" customHeight="1" spans="1:8">
      <c r="A21" s="3">
        <v>20</v>
      </c>
      <c r="B21" s="3" t="s">
        <v>33</v>
      </c>
      <c r="C21" s="3" t="s">
        <v>9</v>
      </c>
      <c r="D21" s="3" t="s">
        <v>17</v>
      </c>
      <c r="E21" s="3">
        <v>20</v>
      </c>
      <c r="F21" s="4">
        <v>162.8</v>
      </c>
      <c r="G21" s="5">
        <f t="shared" si="0"/>
        <v>3256</v>
      </c>
      <c r="H21" s="3"/>
    </row>
    <row r="22" s="1" customFormat="1" ht="20" customHeight="1" spans="1:8">
      <c r="A22" s="3">
        <v>21</v>
      </c>
      <c r="B22" s="3" t="s">
        <v>33</v>
      </c>
      <c r="C22" s="3" t="s">
        <v>12</v>
      </c>
      <c r="D22" s="3" t="s">
        <v>17</v>
      </c>
      <c r="E22" s="3">
        <v>10</v>
      </c>
      <c r="F22" s="4">
        <v>91.824</v>
      </c>
      <c r="G22" s="5">
        <f t="shared" si="0"/>
        <v>918.24</v>
      </c>
      <c r="H22" s="3"/>
    </row>
    <row r="23" s="1" customFormat="1" ht="20" customHeight="1" spans="1:8">
      <c r="A23" s="3">
        <v>22</v>
      </c>
      <c r="B23" s="3" t="s">
        <v>33</v>
      </c>
      <c r="C23" s="3" t="s">
        <v>13</v>
      </c>
      <c r="D23" s="3" t="s">
        <v>17</v>
      </c>
      <c r="E23" s="3">
        <v>10</v>
      </c>
      <c r="F23" s="4">
        <v>91.824</v>
      </c>
      <c r="G23" s="5">
        <f t="shared" si="0"/>
        <v>918.24</v>
      </c>
      <c r="H23" s="3"/>
    </row>
    <row r="24" s="1" customFormat="1" ht="60" customHeight="1" spans="1:8">
      <c r="A24" s="3">
        <v>23</v>
      </c>
      <c r="B24" s="3" t="s">
        <v>34</v>
      </c>
      <c r="C24" s="3" t="s">
        <v>35</v>
      </c>
      <c r="D24" s="3" t="s">
        <v>17</v>
      </c>
      <c r="E24" s="3">
        <v>2</v>
      </c>
      <c r="F24" s="5"/>
      <c r="G24" s="5">
        <f t="shared" si="0"/>
        <v>0</v>
      </c>
      <c r="H24" s="8" t="s">
        <v>36</v>
      </c>
    </row>
    <row r="25" s="1" customFormat="1" ht="20" customHeight="1" spans="1:8">
      <c r="A25" s="3">
        <v>24</v>
      </c>
      <c r="B25" s="3" t="s">
        <v>37</v>
      </c>
      <c r="C25" s="3" t="s">
        <v>38</v>
      </c>
      <c r="D25" s="3" t="s">
        <v>17</v>
      </c>
      <c r="E25" s="3">
        <v>10</v>
      </c>
      <c r="F25" s="7">
        <v>109.44</v>
      </c>
      <c r="G25" s="5">
        <f t="shared" si="0"/>
        <v>1094.4</v>
      </c>
      <c r="H25" s="3"/>
    </row>
    <row r="26" s="1" customFormat="1" ht="20" customHeight="1" spans="1:8">
      <c r="A26" s="3">
        <v>25</v>
      </c>
      <c r="B26" s="3" t="s">
        <v>37</v>
      </c>
      <c r="C26" s="3" t="s">
        <v>39</v>
      </c>
      <c r="D26" s="3" t="s">
        <v>17</v>
      </c>
      <c r="E26" s="3">
        <v>10</v>
      </c>
      <c r="F26" s="7">
        <v>120.32</v>
      </c>
      <c r="G26" s="5">
        <f t="shared" si="0"/>
        <v>1203.2</v>
      </c>
      <c r="H26" s="3"/>
    </row>
    <row r="27" s="1" customFormat="1" ht="20" customHeight="1" spans="1:8">
      <c r="A27" s="3">
        <v>26</v>
      </c>
      <c r="B27" s="3" t="s">
        <v>37</v>
      </c>
      <c r="C27" s="3" t="s">
        <v>40</v>
      </c>
      <c r="D27" s="3" t="s">
        <v>17</v>
      </c>
      <c r="E27" s="3">
        <v>10</v>
      </c>
      <c r="F27" s="9">
        <v>83.16</v>
      </c>
      <c r="G27" s="5">
        <f t="shared" si="0"/>
        <v>831.6</v>
      </c>
      <c r="H27" s="3"/>
    </row>
    <row r="28" s="1" customFormat="1" ht="20" customHeight="1" spans="1:8">
      <c r="A28" s="3">
        <v>27</v>
      </c>
      <c r="B28" s="3" t="s">
        <v>37</v>
      </c>
      <c r="C28" s="3" t="s">
        <v>41</v>
      </c>
      <c r="D28" s="3" t="s">
        <v>17</v>
      </c>
      <c r="E28" s="3">
        <v>10</v>
      </c>
      <c r="F28" s="9">
        <v>83.16</v>
      </c>
      <c r="G28" s="5">
        <f t="shared" si="0"/>
        <v>831.6</v>
      </c>
      <c r="H28" s="3"/>
    </row>
    <row r="29" s="1" customFormat="1" ht="20" customHeight="1" spans="1:8">
      <c r="A29" s="3">
        <v>28</v>
      </c>
      <c r="B29" s="3" t="s">
        <v>42</v>
      </c>
      <c r="C29" s="3" t="s">
        <v>22</v>
      </c>
      <c r="D29" s="3" t="s">
        <v>17</v>
      </c>
      <c r="E29" s="3">
        <v>118</v>
      </c>
      <c r="F29" s="7">
        <v>74.928</v>
      </c>
      <c r="G29" s="5">
        <f t="shared" si="0"/>
        <v>8841.504</v>
      </c>
      <c r="H29" s="3"/>
    </row>
    <row r="30" s="1" customFormat="1" ht="20" customHeight="1" spans="1:8">
      <c r="A30" s="3">
        <v>29</v>
      </c>
      <c r="B30" s="3" t="s">
        <v>42</v>
      </c>
      <c r="C30" s="3" t="s">
        <v>23</v>
      </c>
      <c r="D30" s="3" t="s">
        <v>17</v>
      </c>
      <c r="E30" s="3">
        <v>26</v>
      </c>
      <c r="F30" s="9">
        <v>47.672</v>
      </c>
      <c r="G30" s="5">
        <f t="shared" si="0"/>
        <v>1239.472</v>
      </c>
      <c r="H30" s="3"/>
    </row>
    <row r="31" s="1" customFormat="1" ht="20" customHeight="1" spans="1:8">
      <c r="A31" s="3">
        <v>30</v>
      </c>
      <c r="B31" s="3" t="s">
        <v>42</v>
      </c>
      <c r="C31" s="6" t="s">
        <v>43</v>
      </c>
      <c r="D31" s="3" t="s">
        <v>17</v>
      </c>
      <c r="E31" s="3">
        <v>100</v>
      </c>
      <c r="F31" s="7">
        <v>38.868</v>
      </c>
      <c r="G31" s="5">
        <f t="shared" si="0"/>
        <v>3886.8</v>
      </c>
      <c r="H31" s="3"/>
    </row>
    <row r="32" s="1" customFormat="1" ht="20" customHeight="1" spans="1:8">
      <c r="A32" s="3">
        <v>31</v>
      </c>
      <c r="B32" s="3" t="s">
        <v>42</v>
      </c>
      <c r="C32" s="6" t="s">
        <v>19</v>
      </c>
      <c r="D32" s="3" t="s">
        <v>17</v>
      </c>
      <c r="E32" s="3">
        <v>20</v>
      </c>
      <c r="F32" s="10"/>
      <c r="G32" s="5">
        <f t="shared" si="0"/>
        <v>0</v>
      </c>
      <c r="H32" s="3"/>
    </row>
    <row r="33" s="1" customFormat="1" ht="20" customHeight="1" spans="1:8">
      <c r="A33" s="3">
        <v>32</v>
      </c>
      <c r="B33" s="3" t="s">
        <v>44</v>
      </c>
      <c r="C33" s="3" t="s">
        <v>22</v>
      </c>
      <c r="D33" s="3" t="s">
        <v>45</v>
      </c>
      <c r="E33" s="3">
        <v>118</v>
      </c>
      <c r="F33" s="7">
        <v>42</v>
      </c>
      <c r="G33" s="5">
        <f t="shared" si="0"/>
        <v>4956</v>
      </c>
      <c r="H33" s="3"/>
    </row>
    <row r="34" s="1" customFormat="1" ht="20" customHeight="1" spans="1:8">
      <c r="A34" s="3">
        <v>33</v>
      </c>
      <c r="B34" s="3" t="s">
        <v>44</v>
      </c>
      <c r="C34" s="3" t="s">
        <v>23</v>
      </c>
      <c r="D34" s="3" t="s">
        <v>45</v>
      </c>
      <c r="E34" s="3">
        <v>46</v>
      </c>
      <c r="F34" s="7">
        <v>25</v>
      </c>
      <c r="G34" s="5">
        <f t="shared" si="0"/>
        <v>1150</v>
      </c>
      <c r="H34" s="3"/>
    </row>
    <row r="35" s="1" customFormat="1" ht="20" customHeight="1" spans="1:8">
      <c r="A35" s="3">
        <v>34</v>
      </c>
      <c r="B35" s="3" t="s">
        <v>44</v>
      </c>
      <c r="C35" s="3" t="s">
        <v>43</v>
      </c>
      <c r="D35" s="3" t="s">
        <v>45</v>
      </c>
      <c r="E35" s="3">
        <v>100</v>
      </c>
      <c r="F35" s="7">
        <v>15</v>
      </c>
      <c r="G35" s="5">
        <f t="shared" si="0"/>
        <v>1500</v>
      </c>
      <c r="H35" s="3"/>
    </row>
    <row r="36" s="1" customFormat="1" ht="20" customHeight="1" spans="1:8">
      <c r="A36" s="3">
        <v>35</v>
      </c>
      <c r="B36" s="3" t="s">
        <v>46</v>
      </c>
      <c r="C36" s="6" t="s">
        <v>47</v>
      </c>
      <c r="D36" s="3" t="s">
        <v>45</v>
      </c>
      <c r="E36" s="3">
        <v>200</v>
      </c>
      <c r="F36" s="5"/>
      <c r="G36" s="5">
        <f t="shared" si="0"/>
        <v>0</v>
      </c>
      <c r="H36" s="6" t="s">
        <v>48</v>
      </c>
    </row>
    <row r="37" s="1" customFormat="1" ht="20" customHeight="1" spans="1:8">
      <c r="A37" s="3">
        <v>36</v>
      </c>
      <c r="B37" s="3" t="s">
        <v>46</v>
      </c>
      <c r="C37" s="6" t="s">
        <v>49</v>
      </c>
      <c r="D37" s="3" t="s">
        <v>45</v>
      </c>
      <c r="E37" s="3">
        <v>100</v>
      </c>
      <c r="F37" s="5"/>
      <c r="G37" s="5">
        <f t="shared" si="0"/>
        <v>0</v>
      </c>
      <c r="H37" s="6" t="s">
        <v>48</v>
      </c>
    </row>
    <row r="38" s="1" customFormat="1" ht="20" customHeight="1" spans="1:8">
      <c r="A38" s="3">
        <v>37</v>
      </c>
      <c r="B38" s="3" t="s">
        <v>46</v>
      </c>
      <c r="C38" s="6" t="s">
        <v>50</v>
      </c>
      <c r="D38" s="3" t="s">
        <v>45</v>
      </c>
      <c r="E38" s="3">
        <v>200</v>
      </c>
      <c r="F38" s="5"/>
      <c r="G38" s="5">
        <f t="shared" si="0"/>
        <v>0</v>
      </c>
      <c r="H38" s="6" t="s">
        <v>48</v>
      </c>
    </row>
    <row r="39" s="1" customFormat="1" ht="20" customHeight="1" spans="1:8">
      <c r="A39" s="3">
        <v>38</v>
      </c>
      <c r="B39" s="3" t="s">
        <v>51</v>
      </c>
      <c r="C39" s="6" t="s">
        <v>52</v>
      </c>
      <c r="D39" s="3" t="s">
        <v>53</v>
      </c>
      <c r="E39" s="3">
        <v>1500</v>
      </c>
      <c r="F39" s="5"/>
      <c r="G39" s="5">
        <f t="shared" si="0"/>
        <v>0</v>
      </c>
      <c r="H39" s="3" t="s">
        <v>54</v>
      </c>
    </row>
    <row r="40" s="1" customFormat="1" ht="20" customHeight="1" spans="1:8">
      <c r="A40" s="3">
        <v>39</v>
      </c>
      <c r="B40" s="3" t="s">
        <v>51</v>
      </c>
      <c r="C40" s="6" t="s">
        <v>55</v>
      </c>
      <c r="D40" s="3" t="s">
        <v>53</v>
      </c>
      <c r="E40" s="3">
        <v>1000</v>
      </c>
      <c r="F40" s="5"/>
      <c r="G40" s="5">
        <f t="shared" si="0"/>
        <v>0</v>
      </c>
      <c r="H40" s="6" t="s">
        <v>54</v>
      </c>
    </row>
    <row r="41" s="1" customFormat="1" ht="20" customHeight="1" spans="1:8">
      <c r="A41" s="3">
        <v>40</v>
      </c>
      <c r="B41" s="3" t="s">
        <v>56</v>
      </c>
      <c r="C41" s="6" t="s">
        <v>57</v>
      </c>
      <c r="D41" s="3" t="s">
        <v>17</v>
      </c>
      <c r="E41" s="3">
        <v>5</v>
      </c>
      <c r="F41" s="5"/>
      <c r="G41" s="5">
        <f t="shared" si="0"/>
        <v>0</v>
      </c>
      <c r="H41" s="3"/>
    </row>
    <row r="42" s="1" customFormat="1" ht="20" customHeight="1" spans="1:8">
      <c r="A42" s="3">
        <v>41</v>
      </c>
      <c r="B42" s="3" t="s">
        <v>56</v>
      </c>
      <c r="C42" s="6" t="s">
        <v>58</v>
      </c>
      <c r="D42" s="3" t="s">
        <v>17</v>
      </c>
      <c r="E42" s="3">
        <v>5</v>
      </c>
      <c r="F42" s="5"/>
      <c r="G42" s="5">
        <f t="shared" si="0"/>
        <v>0</v>
      </c>
      <c r="H42" s="3"/>
    </row>
    <row r="43" s="1" customFormat="1" ht="20" customHeight="1" spans="1:8">
      <c r="A43" s="3">
        <v>42</v>
      </c>
      <c r="B43" s="3" t="s">
        <v>56</v>
      </c>
      <c r="C43" s="6" t="s">
        <v>59</v>
      </c>
      <c r="D43" s="3" t="s">
        <v>17</v>
      </c>
      <c r="E43" s="3">
        <v>5</v>
      </c>
      <c r="F43" s="5"/>
      <c r="G43" s="5">
        <f t="shared" si="0"/>
        <v>0</v>
      </c>
      <c r="H43" s="3"/>
    </row>
    <row r="44" s="1" customFormat="1" ht="20" customHeight="1" spans="1:8">
      <c r="A44" s="3">
        <v>43</v>
      </c>
      <c r="B44" s="3" t="s">
        <v>56</v>
      </c>
      <c r="C44" s="6" t="s">
        <v>60</v>
      </c>
      <c r="D44" s="3" t="s">
        <v>17</v>
      </c>
      <c r="E44" s="3">
        <v>10</v>
      </c>
      <c r="F44" s="5"/>
      <c r="G44" s="5">
        <f t="shared" si="0"/>
        <v>0</v>
      </c>
      <c r="H44" s="3"/>
    </row>
    <row r="45" s="1" customFormat="1" ht="20" customHeight="1" spans="1:8">
      <c r="A45" s="3">
        <v>44</v>
      </c>
      <c r="B45" s="3" t="s">
        <v>61</v>
      </c>
      <c r="C45" s="6" t="s">
        <v>47</v>
      </c>
      <c r="D45" s="3" t="s">
        <v>45</v>
      </c>
      <c r="E45" s="3">
        <v>5</v>
      </c>
      <c r="F45" s="5"/>
      <c r="G45" s="5">
        <f t="shared" si="0"/>
        <v>0</v>
      </c>
      <c r="H45" s="3"/>
    </row>
    <row r="46" s="1" customFormat="1" ht="20" customHeight="1" spans="1:8">
      <c r="A46" s="3">
        <v>45</v>
      </c>
      <c r="B46" s="3" t="s">
        <v>61</v>
      </c>
      <c r="C46" s="6" t="s">
        <v>49</v>
      </c>
      <c r="D46" s="3" t="s">
        <v>45</v>
      </c>
      <c r="E46" s="3">
        <v>5</v>
      </c>
      <c r="F46" s="5"/>
      <c r="G46" s="5">
        <f t="shared" si="0"/>
        <v>0</v>
      </c>
      <c r="H46" s="3"/>
    </row>
    <row r="47" s="1" customFormat="1" ht="20" customHeight="1" spans="1:8">
      <c r="A47" s="3">
        <v>46</v>
      </c>
      <c r="B47" s="3" t="s">
        <v>61</v>
      </c>
      <c r="C47" s="6" t="s">
        <v>50</v>
      </c>
      <c r="D47" s="3" t="s">
        <v>45</v>
      </c>
      <c r="E47" s="3">
        <v>20</v>
      </c>
      <c r="F47" s="5"/>
      <c r="G47" s="5">
        <f t="shared" si="0"/>
        <v>0</v>
      </c>
      <c r="H47" s="3"/>
    </row>
    <row r="48" s="1" customFormat="1" ht="20" customHeight="1" spans="1:8">
      <c r="A48" s="11" t="s">
        <v>62</v>
      </c>
      <c r="B48" s="12"/>
      <c r="C48" s="12"/>
      <c r="D48" s="12"/>
      <c r="E48" s="12"/>
      <c r="F48" s="13"/>
      <c r="G48" s="5">
        <f>SUM(G2:G47)</f>
        <v>433148.5</v>
      </c>
      <c r="H48" s="3"/>
    </row>
    <row r="49" ht="26.5" customHeight="1"/>
  </sheetData>
  <mergeCells count="1">
    <mergeCell ref="A48:F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2026-04-14T06:32:00Z</dcterms:created>
  <dcterms:modified xsi:type="dcterms:W3CDTF">2026-04-15T03:05:23Z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45108AEFB04B476CBBF4BA835433F4BC_13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